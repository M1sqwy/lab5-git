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ица" sheetId="1" state="visible" r:id="rId3"/>
    <sheet name="Распределение" sheetId="2" state="visible" r:id="rId4"/>
    <sheet name="Гистограмм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<sst xmlns="http://schemas.openxmlformats.org/spreadsheetml/2006/main" count="33" uniqueCount="30">
  <si>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t xml:space="preserve">Фамилия Имя Отчество</t>
  </si>
  <si>
    <t xml:space="preserve">Город рождения</t>
  </si>
  <si>
    <t xml:space="preserve">Дата рождения</t>
  </si>
  <si>
    <t xml:space="preserve">Оценки по курсу</t>
  </si>
  <si>
    <t xml:space="preserve">Возраст</t>
  </si>
  <si>
    <t xml:space="preserve">Средний балл</t>
  </si>
  <si>
    <t xml:space="preserve">Средний балл × коэффициент</t>
  </si>
  <si>
    <t xml:space="preserve">Коэффициент</t>
  </si>
  <si>
    <t xml:space="preserve">Информатика</t>
  </si>
  <si>
    <t xml:space="preserve">Линейная алгебра</t>
  </si>
  <si>
    <t xml:space="preserve">Культурология</t>
  </si>
  <si>
    <t xml:space="preserve">Психология</t>
  </si>
  <si>
    <t xml:space="preserve">Иванов Иван Иванович</t>
  </si>
  <si>
    <t xml:space="preserve">Санкт-Петербург</t>
  </si>
  <si>
    <t xml:space="preserve">Лапушкин Валерий Федорович</t>
  </si>
  <si>
    <t xml:space="preserve">Калиточкин Михаил Сергеевич</t>
  </si>
  <si>
    <t xml:space="preserve">Мурманск</t>
  </si>
  <si>
    <t xml:space="preserve">н/я</t>
  </si>
  <si>
    <t xml:space="preserve">Зинаев Дмитрий Алексеевич</t>
  </si>
  <si>
    <t xml:space="preserve">Архангельск</t>
  </si>
  <si>
    <t xml:space="preserve">Валюшин Роман Капитонович</t>
  </si>
  <si>
    <t xml:space="preserve">Калининград</t>
  </si>
  <si>
    <t xml:space="preserve">Завитушкин Владимир Ильич</t>
  </si>
  <si>
    <t xml:space="preserve">Средний балл по предмету</t>
  </si>
  <si>
    <t xml:space="preserve">Распределение среднего балла</t>
  </si>
  <si>
    <t xml:space="preserve">Категория</t>
  </si>
  <si>
    <t xml:space="preserve">Кол-во человек</t>
  </si>
  <si>
    <t xml:space="preserve">5</t>
  </si>
  <si>
    <t xml:space="preserve">4-5</t>
  </si>
  <si>
    <t xml:space="preserve">&lt;4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</si>
</sst>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0"/>
    <numFmt numFmtId="167" formatCode="0.00"/>
    <numFmt numFmtId="168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i val="true"/>
      <sz val="12"/>
      <name val="Arial"/>
      <family val="0"/>
      <charset val="1"/>
    </font>
    <font>
      <sz val="10"/>
      <name val="Garamond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20"/>
      <color rgb="FF000000"/>
      <name val="Calibri"/>
      <family val="2"/>
    </font>
    <font>
      <b val="true"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4F81BD"/>
      <rgbColor rgb="FFA5A5A5"/>
      <rgbColor rgb="FF003366"/>
      <rgbColor rgb="FF339966"/>
      <rgbColor rgb="FF003300"/>
      <rgbColor rgb="FF333300"/>
      <rgbColor rgb="FF993300"/>
      <rgbColor rgb="FF993366"/>
      <rgbColor rgb="FF233C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Распределение среднего балла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Таблица!B12</c:f>
              <c:strCache>
                <c:ptCount val="1"/>
                <c:pt idx="0">
                  <c:v>Кол-во человек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5A5A5"/>
              </a:solidFill>
              <a:ln w="0">
                <a:noFill/>
              </a:ln>
            </c:spPr>
          </c:dPt>
          <c:dLbls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0"/>
              <c:showPercent val="0"/>
              <c:separator>; </c:separator>
            </c:dLbl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Таблица!$A$13:$A$15</c:f>
              <c:strCache>
                <c:ptCount val="3"/>
                <c:pt idx="0">
                  <c:v>5</c:v>
                </c:pt>
                <c:pt idx="1">
                  <c:v>4-5</c:v>
                </c:pt>
                <c:pt idx="2">
                  <c:v>&lt;4</c:v>
                </c:pt>
              </c:strCache>
            </c:strRef>
          </c:cat>
          <c:val>
            <c:numRef>
              <c:f>Таблица!$B$13:$B$15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000" b="1" u="none" strike="noStrike">
                <a:solidFill>
                  <a:srgbClr val="000000"/>
                </a:solidFill>
                <a:uFillTx/>
                <a:latin typeface="Calibri"/>
              </a:rPr>
              <a:t>Средний балл по предмету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33C9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Таблица!$D$2:$G$2</c:f>
              <c:strCache>
                <c:ptCount val="4"/>
                <c:pt idx="0">
                  <c:v>Информатика</c:v>
                </c:pt>
                <c:pt idx="1">
                  <c:v>Линейная алгебра</c:v>
                </c:pt>
                <c:pt idx="2">
                  <c:v>Культурология</c:v>
                </c:pt>
                <c:pt idx="3">
                  <c:v>Психология</c:v>
                </c:pt>
              </c:strCache>
            </c:strRef>
          </c:cat>
          <c:val>
            <c:numRef>
              <c:f>Таблица!$D$9:$G$9</c:f>
              <c:numCache>
                <c:formatCode>0.00</c:formatCode>
                <c:ptCount val="4"/>
                <c:pt idx="0">
                  <c:v>4.2</c:v>
                </c:pt>
                <c:pt idx="1">
                  <c:v>4</c:v>
                </c:pt>
                <c:pt idx="2">
                  <c:v>4</c:v>
                </c:pt>
                <c:pt idx="3">
                  <c:v>4.33333333333333</c:v>
                </c:pt>
              </c:numCache>
            </c:numRef>
          </c:val>
        </c:ser>
        <c:gapWidth val="220"/>
        <c:overlap val="0"/>
        <c:axId val="65248399"/>
        <c:axId val="92929892"/>
      </c:barChart>
      <c:catAx>
        <c:axId val="652483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7F7F7F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929892"/>
        <c:crosses val="autoZero"/>
        <c:auto val="1"/>
        <c:lblAlgn val="ctr"/>
        <c:lblOffset val="100"/>
        <c:noMultiLvlLbl val="0"/>
      </c:catAx>
      <c:valAx>
        <c:axId val="92929892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7F7F7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248399"/>
        <c:crosses val="autoZero"/>
        <c:crossBetween val="between"/>
        <c:majorUnit val="0.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394560</xdr:colOff>
      <xdr:row>1</xdr:row>
      <xdr:rowOff>123480</xdr:rowOff>
    </xdr:from>
    <xdr:to>
      <xdr:col>14</xdr:col>
      <xdr:colOff>364320</xdr:colOff>
      <xdr:row>26</xdr:row>
      <xdr:rowOff>40320</xdr:rowOff>
    </xdr:to>
    <xdr:graphicFrame>
      <xdr:nvGraphicFramePr>
        <xdr:cNvPr id="1" name="Chart 1"/>
        <xdr:cNvGraphicFramePr/>
      </xdr:nvGraphicFramePr>
      <xdr:xfrm>
        <a:off x="1006200" y="313920"/>
        <a:ext cx="7919280" cy="46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591840</xdr:colOff>
      <xdr:row>2</xdr:row>
      <xdr:rowOff>114480</xdr:rowOff>
    </xdr:from>
    <xdr:to>
      <xdr:col>16</xdr:col>
      <xdr:colOff>167040</xdr:colOff>
      <xdr:row>30</xdr:row>
      <xdr:rowOff>179640</xdr:rowOff>
    </xdr:to>
    <xdr:graphicFrame>
      <xdr:nvGraphicFramePr>
        <xdr:cNvPr id="2" name="Chart 1"/>
        <xdr:cNvGraphicFramePr/>
      </xdr:nvGraphicFramePr>
      <xdr:xfrm>
        <a:off x="591840" y="495360"/>
        <a:ext cx="9359280" cy="53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15" activeCellId="0" sqref="C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4" min="3" style="1" width="16"/>
    <col collapsed="false" customWidth="true" hidden="false" outlineLevel="0" max="5" min="5" style="1" width="19"/>
    <col collapsed="false" customWidth="true" hidden="false" outlineLevel="0" max="6" min="6" style="1" width="17"/>
    <col collapsed="false" customWidth="true" hidden="false" outlineLevel="0" max="7" min="7" style="1" width="15"/>
    <col collapsed="false" customWidth="true" hidden="false" outlineLevel="0" max="8" min="8" style="1" width="11"/>
    <col collapsed="false" customWidth="true" hidden="false" outlineLevel="0" max="9" min="9" style="1" width="14"/>
    <col collapsed="false" customWidth="true" hidden="false" outlineLevel="0" max="10" min="10" style="1" width="20"/>
    <col collapsed="false" customWidth="true" hidden="false" outlineLevel="0" max="11" min="11" style="1" width="14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4</v>
      </c>
      <c r="I1" s="2" t="s">
        <v>5</v>
      </c>
      <c r="J1" s="2" t="s">
        <v>6</v>
      </c>
      <c r="K1" s="2" t="s">
        <v>7</v>
      </c>
    </row>
    <row r="2" customFormat="false" ht="36" hidden="false" customHeight="true" outlineLevel="0" collapsed="false">
      <c r="A2" s="2"/>
      <c r="B2" s="2"/>
      <c r="C2" s="2"/>
      <c r="D2" s="2" t="s">
        <v>8</v>
      </c>
      <c r="E2" s="2" t="s">
        <v>9</v>
      </c>
      <c r="F2" s="2" t="s">
        <v>10</v>
      </c>
      <c r="G2" s="2" t="s">
        <v>11</v>
      </c>
      <c r="H2" s="2"/>
      <c r="I2" s="2"/>
      <c r="J2" s="2"/>
      <c r="K2" s="3" t="n">
        <v>2.4</v>
      </c>
    </row>
    <row r="3" customFormat="false" ht="19.5" hidden="false" customHeight="true" outlineLevel="0" collapsed="false">
      <c r="A3" s="3" t="s">
        <v>12</v>
      </c>
      <c r="B3" s="3" t="s">
        <v>13</v>
      </c>
      <c r="C3" s="4" t="n">
        <v>39345</v>
      </c>
      <c r="D3" s="3" t="n">
        <v>5</v>
      </c>
      <c r="E3" s="3" t="n">
        <v>3</v>
      </c>
      <c r="F3" s="3" t="n">
        <v>4</v>
      </c>
      <c r="G3" s="3" t="n">
        <v>4</v>
      </c>
      <c r="H3" s="5" t="n">
        <f aca="true">YEAR(TODAY())-YEAR(C3)</f>
        <v>19</v>
      </c>
      <c r="I3" s="6" t="n">
        <f aca="false">AVERAGE(D3:G3)</f>
        <v>4</v>
      </c>
      <c r="J3" s="6" t="n">
        <f aca="false">I3*$K$2</f>
        <v>9.6</v>
      </c>
    </row>
    <row r="4" customFormat="false" ht="19.5" hidden="false" customHeight="true" outlineLevel="0" collapsed="false">
      <c r="A4" s="3" t="s">
        <v>14</v>
      </c>
      <c r="B4" s="3" t="s">
        <v>13</v>
      </c>
      <c r="C4" s="4" t="n">
        <v>38944</v>
      </c>
      <c r="D4" s="3" t="n">
        <v>4</v>
      </c>
      <c r="E4" s="3" t="n">
        <v>4</v>
      </c>
      <c r="F4" s="3" t="n">
        <v>4</v>
      </c>
      <c r="G4" s="3" t="n">
        <v>4</v>
      </c>
      <c r="H4" s="5" t="n">
        <f aca="true">YEAR(TODAY())-YEAR(C4)</f>
        <v>20</v>
      </c>
      <c r="I4" s="6" t="n">
        <f aca="false">AVERAGE(D4:G4)</f>
        <v>4</v>
      </c>
      <c r="J4" s="6" t="n">
        <f aca="false">I4*$K$2</f>
        <v>9.6</v>
      </c>
    </row>
    <row r="5" customFormat="false" ht="19.5" hidden="false" customHeight="true" outlineLevel="0" collapsed="false">
      <c r="A5" s="3" t="s">
        <v>15</v>
      </c>
      <c r="B5" s="3" t="s">
        <v>16</v>
      </c>
      <c r="C5" s="4" t="n">
        <v>38052</v>
      </c>
      <c r="D5" s="3" t="s">
        <v>17</v>
      </c>
      <c r="E5" s="3" t="n">
        <v>3</v>
      </c>
      <c r="F5" s="3" t="n">
        <v>4</v>
      </c>
      <c r="G5" s="3" t="n">
        <v>4</v>
      </c>
      <c r="H5" s="5" t="n">
        <f aca="true">YEAR(TODAY())-YEAR(C5)</f>
        <v>22</v>
      </c>
      <c r="I5" s="6" t="n">
        <f aca="false">AVERAGE(D5:G5)</f>
        <v>3.66666666666667</v>
      </c>
      <c r="J5" s="6" t="n">
        <f aca="false">I5*$K$2</f>
        <v>8.8</v>
      </c>
    </row>
    <row r="6" customFormat="false" ht="19.5" hidden="false" customHeight="true" outlineLevel="0" collapsed="false">
      <c r="A6" s="3" t="s">
        <v>18</v>
      </c>
      <c r="B6" s="3" t="s">
        <v>19</v>
      </c>
      <c r="C6" s="4" t="n">
        <v>39075</v>
      </c>
      <c r="D6" s="3" t="n">
        <v>5</v>
      </c>
      <c r="E6" s="3" t="n">
        <v>5</v>
      </c>
      <c r="F6" s="3" t="n">
        <v>5</v>
      </c>
      <c r="G6" s="3" t="n">
        <v>5</v>
      </c>
      <c r="H6" s="5" t="n">
        <f aca="true">YEAR(TODAY())-YEAR(C6)</f>
        <v>20</v>
      </c>
      <c r="I6" s="6" t="n">
        <f aca="false">AVERAGE(D6:G6)</f>
        <v>5</v>
      </c>
      <c r="J6" s="6" t="n">
        <f aca="false">I6*$K$2</f>
        <v>12</v>
      </c>
    </row>
    <row r="7" customFormat="false" ht="19.5" hidden="false" customHeight="true" outlineLevel="0" collapsed="false">
      <c r="A7" s="3" t="s">
        <v>20</v>
      </c>
      <c r="B7" s="3" t="s">
        <v>21</v>
      </c>
      <c r="C7" s="4" t="n">
        <v>39124</v>
      </c>
      <c r="D7" s="3" t="n">
        <v>3</v>
      </c>
      <c r="E7" s="3" t="s">
        <v>17</v>
      </c>
      <c r="F7" s="3" t="n">
        <v>4</v>
      </c>
      <c r="G7" s="3" t="n">
        <v>4</v>
      </c>
      <c r="H7" s="5" t="n">
        <f aca="true">YEAR(TODAY())-YEAR(C7)</f>
        <v>19</v>
      </c>
      <c r="I7" s="6" t="n">
        <f aca="false">AVERAGE(D7:G7)</f>
        <v>3.66666666666667</v>
      </c>
      <c r="J7" s="6" t="n">
        <f aca="false">I7*$K$2</f>
        <v>8.8</v>
      </c>
    </row>
    <row r="8" customFormat="false" ht="19.5" hidden="false" customHeight="true" outlineLevel="0" collapsed="false">
      <c r="A8" s="3" t="s">
        <v>22</v>
      </c>
      <c r="B8" s="3" t="s">
        <v>13</v>
      </c>
      <c r="C8" s="4" t="n">
        <v>38977</v>
      </c>
      <c r="D8" s="3" t="n">
        <v>4</v>
      </c>
      <c r="E8" s="3" t="n">
        <v>5</v>
      </c>
      <c r="F8" s="3" t="n">
        <v>3</v>
      </c>
      <c r="G8" s="3" t="n">
        <v>5</v>
      </c>
      <c r="H8" s="5" t="n">
        <f aca="true">YEAR(TODAY())-YEAR(C8)</f>
        <v>20</v>
      </c>
      <c r="I8" s="6" t="n">
        <f aca="false">AVERAGE(D8:G8)</f>
        <v>4.25</v>
      </c>
      <c r="J8" s="6" t="n">
        <f aca="false">I8*$K$2</f>
        <v>10.2</v>
      </c>
    </row>
    <row r="9" customFormat="false" ht="19.5" hidden="false" customHeight="true" outlineLevel="0" collapsed="false">
      <c r="A9" s="3" t="s">
        <v>23</v>
      </c>
      <c r="B9" s="3"/>
      <c r="C9" s="3"/>
      <c r="D9" s="6" t="n">
        <f aca="false">AVERAGE(D3:D8)</f>
        <v>4.2</v>
      </c>
      <c r="E9" s="6" t="n">
        <f aca="false">AVERAGE(E3:E8)</f>
        <v>4</v>
      </c>
      <c r="F9" s="6" t="n">
        <f aca="false">AVERAGE(F3:F8)</f>
        <v>4</v>
      </c>
      <c r="G9" s="6" t="n">
        <f aca="false">AVERAGE(G3:G8)</f>
        <v>4.33333333333333</v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3" t="s">
        <v>24</v>
      </c>
      <c r="B11" s="3"/>
      <c r="C11" s="3"/>
      <c r="D11" s="7"/>
      <c r="E11" s="7"/>
      <c r="F11" s="7"/>
      <c r="G11" s="7"/>
    </row>
    <row r="12" customFormat="false" ht="15" hidden="false" customHeight="false" outlineLevel="0" collapsed="false">
      <c r="A12" s="3" t="s">
        <v>25</v>
      </c>
      <c r="B12" s="3" t="s">
        <v>26</v>
      </c>
      <c r="C12" s="7"/>
      <c r="D12" s="7"/>
      <c r="E12" s="7"/>
      <c r="F12" s="7"/>
      <c r="G12" s="7"/>
    </row>
    <row r="13" customFormat="false" ht="15" hidden="false" customHeight="false" outlineLevel="0" collapsed="false">
      <c r="A13" s="8" t="s">
        <v>27</v>
      </c>
      <c r="B13" s="3" t="n">
        <f aca="false">COUNTIF($I$3:$I$8,5)</f>
        <v>1</v>
      </c>
      <c r="C13" s="7"/>
      <c r="D13" s="7"/>
      <c r="E13" s="7"/>
      <c r="F13" s="7"/>
      <c r="G13" s="7"/>
    </row>
    <row r="14" customFormat="false" ht="15" hidden="false" customHeight="false" outlineLevel="0" collapsed="false">
      <c r="A14" s="8" t="s">
        <v>28</v>
      </c>
      <c r="B14" s="3" t="n">
        <f aca="false">COUNTIFS($I$3:$I$8,"&gt;=4",$I$3:$I$8,"&lt;5")</f>
        <v>3</v>
      </c>
      <c r="C14" s="7"/>
      <c r="D14" s="7"/>
      <c r="E14" s="7"/>
      <c r="F14" s="7"/>
      <c r="G14" s="7"/>
    </row>
    <row r="15" customFormat="false" ht="15" hidden="false" customHeight="false" outlineLevel="0" collapsed="false">
      <c r="A15" s="8" t="s">
        <v>29</v>
      </c>
      <c r="B15" s="3" t="n">
        <f aca="false">COUNTIF($I$3:$I$8,"&lt;4")</f>
        <v>2</v>
      </c>
      <c r="C15" s="7"/>
      <c r="D15" s="7"/>
      <c r="E15" s="7"/>
      <c r="F15" s="7"/>
      <c r="G15" s="7"/>
    </row>
  </sheetData>
  <mergeCells count="9">
    <mergeCell ref="A1:A2"/>
    <mergeCell ref="B1:B2"/>
    <mergeCell ref="C1:C2"/>
    <mergeCell ref="D1:G1"/>
    <mergeCell ref="H1:H2"/>
    <mergeCell ref="I1:I2"/>
    <mergeCell ref="J1:J2"/>
    <mergeCell ref="A9:C9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3" activeCellId="0" sqref="R13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6" activeCellId="0" sqref="R16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2026-10-09T09:04:10Z</dcterms:created>
  <dc:creator>openpyxl</dc:creator>
  <dc:description/>
  <dc:language>en-US</dc:language>
  <cp:lastModifiedBy/>
  <dcterms:modified xsi:type="dcterms:W3CDTF">2026-10-09T12:08:13Z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